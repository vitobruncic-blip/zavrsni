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ER\3. godina\6. sem\zavrsni\IBC_prijamnik_VB\Project Outputs for IBC_prijamnik_VB\"/>
    </mc:Choice>
  </mc:AlternateContent>
  <xr:revisionPtr revIDLastSave="0" documentId="13_ncr:1_{1019ED1F-336B-4FE6-8A45-7C595A758E42}" xr6:coauthVersionLast="47" xr6:coauthVersionMax="47" xr10:uidLastSave="{00000000-0000-0000-0000-000000000000}"/>
  <bookViews>
    <workbookView xWindow="-120" yWindow="-120" windowWidth="38640" windowHeight="21120" xr2:uid="{5636603A-DEFA-48BC-8903-7E90C53F8C7C}"/>
  </bookViews>
  <sheets>
    <sheet name="IBC_prijamnik_VB" sheetId="1" r:id="rId1"/>
  </sheets>
  <definedNames>
    <definedName name="_xlnm.Print_Titles" localSheetId="0">IBC_prijamnik_VB!$1:$1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1" l="1"/>
  <c r="L13" i="1"/>
</calcChain>
</file>

<file path=xl/sharedStrings.xml><?xml version="1.0" encoding="utf-8"?>
<sst xmlns="http://schemas.openxmlformats.org/spreadsheetml/2006/main" count="324" uniqueCount="224">
  <si>
    <t>Vrijednost</t>
  </si>
  <si>
    <t>Oznaka komponente</t>
  </si>
  <si>
    <t>Opis</t>
  </si>
  <si>
    <t>Cijena komponente (EUR)</t>
  </si>
  <si>
    <t>Ukupna cijena (EUR)</t>
  </si>
  <si>
    <t>2450AT18B100E</t>
  </si>
  <si>
    <t>A1</t>
  </si>
  <si>
    <t>SMD-2, 3,8x1,8mm</t>
  </si>
  <si>
    <t>Antena, 2.45GHz</t>
  </si>
  <si>
    <t>Knowles</t>
  </si>
  <si>
    <t>Mouser</t>
  </si>
  <si>
    <t>609-2450AT18B100E</t>
  </si>
  <si>
    <t>100n</t>
  </si>
  <si>
    <t>C1, C2, C3, C6, C7, C13, C14, C15, C16, C17, C19, C21, C24, C29, C30, C31</t>
  </si>
  <si>
    <t>0805</t>
  </si>
  <si>
    <t>Kondenzator, X7R, 10%, 50VDC</t>
  </si>
  <si>
    <t>TAIYO YUDEN</t>
  </si>
  <si>
    <t>MCJCU21GBB7104KTPA01</t>
  </si>
  <si>
    <t>963-MCJCU21GBB7104KT</t>
  </si>
  <si>
    <t>10n</t>
  </si>
  <si>
    <t>C5, C25</t>
  </si>
  <si>
    <t>Kondenzator, C0G, 10%, 50VDC</t>
  </si>
  <si>
    <t>Yageo Group</t>
  </si>
  <si>
    <t>C0805C103K5RECAUTO</t>
  </si>
  <si>
    <t>80-C0805C103K5RECAUT</t>
  </si>
  <si>
    <t>22p</t>
  </si>
  <si>
    <t>C8, C28</t>
  </si>
  <si>
    <t>0402</t>
  </si>
  <si>
    <t>Kondenzator, C0G, 1%, 50VDC</t>
  </si>
  <si>
    <t>KYOCERA AVX</t>
  </si>
  <si>
    <t>KAM05ACG1H220FH</t>
  </si>
  <si>
    <t>581-KAM05ACG1H220FH</t>
  </si>
  <si>
    <t>15p</t>
  </si>
  <si>
    <t>C10, C11</t>
  </si>
  <si>
    <t>Kondenzator, C0G, 10%, 160VDC</t>
  </si>
  <si>
    <t>08052U150JAT2A</t>
  </si>
  <si>
    <t>581-08052U150J</t>
  </si>
  <si>
    <t>10u/16V</t>
  </si>
  <si>
    <t>C12</t>
  </si>
  <si>
    <t>1210</t>
  </si>
  <si>
    <t>Elektrolitski kondenzator, Ta, 10%, 16V</t>
  </si>
  <si>
    <t>EEV106M035A9DAA</t>
  </si>
  <si>
    <t>80-EEV106M035A9DAA</t>
  </si>
  <si>
    <t>4u7</t>
  </si>
  <si>
    <t>C18, C22</t>
  </si>
  <si>
    <t>TDK</t>
  </si>
  <si>
    <t>CGA4J1X7R1H475K125AC</t>
  </si>
  <si>
    <t>810-CGA4J1X7R1H475K1</t>
  </si>
  <si>
    <t>100p</t>
  </si>
  <si>
    <t>C20</t>
  </si>
  <si>
    <t>Kondenzator, C0G, 2%, 100VDC</t>
  </si>
  <si>
    <t>Murata</t>
  </si>
  <si>
    <t>GCM1555C2A101GE02D</t>
  </si>
  <si>
    <t>81-GCM1555C2A101GE2D</t>
  </si>
  <si>
    <t>1p2</t>
  </si>
  <si>
    <t>C23</t>
  </si>
  <si>
    <t>QSCF500Q1R2B1GV001T</t>
  </si>
  <si>
    <t>609-QSCF500Q1R2B1GV0</t>
  </si>
  <si>
    <t>1u</t>
  </si>
  <si>
    <t>C26, C27</t>
  </si>
  <si>
    <t>0603</t>
  </si>
  <si>
    <t>C1608X7R1H105K080AB</t>
  </si>
  <si>
    <t>810-C1608X7R1H105K08</t>
  </si>
  <si>
    <t>D1, D2, D3</t>
  </si>
  <si>
    <t>Dioda, svjetleća, 1,9V</t>
  </si>
  <si>
    <t>Bivar</t>
  </si>
  <si>
    <t>SM0805GCL</t>
  </si>
  <si>
    <t>749-SM0805GCL</t>
  </si>
  <si>
    <t>MPZ2012S601AT000</t>
  </si>
  <si>
    <t>FB1</t>
  </si>
  <si>
    <t>Feritna perla, 600Ohm</t>
  </si>
  <si>
    <t>810-MPZ2012S601AT000</t>
  </si>
  <si>
    <t>MLPF-WB55-01E3</t>
  </si>
  <si>
    <t>IPD1</t>
  </si>
  <si>
    <t>SMD-6, 1,6x1 mm</t>
  </si>
  <si>
    <t>RF Filtar, 2.4-2.5GHz</t>
  </si>
  <si>
    <t>STMicroelectronics</t>
  </si>
  <si>
    <t>511-MLPF-WB55-01E3</t>
  </si>
  <si>
    <t>USB4135-GF-A</t>
  </si>
  <si>
    <t>J1</t>
  </si>
  <si>
    <t>SMD-10, 11,14x6,78mm</t>
  </si>
  <si>
    <t>USB-C priključak</t>
  </si>
  <si>
    <t>Global Connector Technology</t>
  </si>
  <si>
    <t>640-USB4135-GF-A</t>
  </si>
  <si>
    <t>10u</t>
  </si>
  <si>
    <t>L1</t>
  </si>
  <si>
    <t>Zavojnica, neoklopljena, 500mADC,</t>
  </si>
  <si>
    <t>LSQBA201212T100KR</t>
  </si>
  <si>
    <t>963-SQBA201212T100K</t>
  </si>
  <si>
    <t>L2</t>
  </si>
  <si>
    <t>Zavojnica, neoklopljena, +/-5%, 300mADC</t>
  </si>
  <si>
    <t>Abracon</t>
  </si>
  <si>
    <t>AIMC-0805-10NJ-T</t>
  </si>
  <si>
    <t>815-AIMC-0805-10NJT</t>
  </si>
  <si>
    <t>3n3</t>
  </si>
  <si>
    <t>L3</t>
  </si>
  <si>
    <t>Zavojnica, neoklopljena, 400mADC</t>
  </si>
  <si>
    <t>609-L-07C3N3SV6T</t>
  </si>
  <si>
    <t>2n7</t>
  </si>
  <si>
    <t>L4</t>
  </si>
  <si>
    <t>RF zavojnica, neoklopljena, 300mADC</t>
  </si>
  <si>
    <t>LRC0402CS2N7GV001T</t>
  </si>
  <si>
    <t>DigiKey</t>
  </si>
  <si>
    <t>712-LRC0402CS2N7GV001TCT-ND</t>
  </si>
  <si>
    <t>49R9</t>
  </si>
  <si>
    <t>R1, R3, R7, R9</t>
  </si>
  <si>
    <t>Otpornik, ±100ppm/C, 125mW</t>
  </si>
  <si>
    <t>AC0805FR-0749R9L</t>
  </si>
  <si>
    <t>603-AC0805FR-0749R9L</t>
  </si>
  <si>
    <t>2k</t>
  </si>
  <si>
    <t>R2, R11</t>
  </si>
  <si>
    <t>Otpornik, 1%, 125mW</t>
  </si>
  <si>
    <t>RC0805FR-102KL</t>
  </si>
  <si>
    <t>603-RC0805FR-102KL</t>
  </si>
  <si>
    <t>4R7</t>
  </si>
  <si>
    <t>R4</t>
  </si>
  <si>
    <t>AC0805FR-074R7L</t>
  </si>
  <si>
    <t>603-AC0805FR-074R7L</t>
  </si>
  <si>
    <t>52R3</t>
  </si>
  <si>
    <t>R5</t>
  </si>
  <si>
    <t>RC0805FR-0752R3L</t>
  </si>
  <si>
    <t>603-RC0805FR-0752R3L</t>
  </si>
  <si>
    <t>0R0</t>
  </si>
  <si>
    <t>R6, R18, R19, R22</t>
  </si>
  <si>
    <t>Otpornik, 1%, 100mW</t>
  </si>
  <si>
    <t>Multicomp</t>
  </si>
  <si>
    <t>MCMR04X000 PTL</t>
  </si>
  <si>
    <t>Farnell</t>
  </si>
  <si>
    <t>10k</t>
  </si>
  <si>
    <t>R8</t>
  </si>
  <si>
    <t>Otpornik, 5%, 125mW</t>
  </si>
  <si>
    <t>RC0805JR-0710KL</t>
  </si>
  <si>
    <t>603-RC0805JR-0710KL</t>
  </si>
  <si>
    <t>R10</t>
  </si>
  <si>
    <t>NTC Termistor, 1%</t>
  </si>
  <si>
    <t>NTCG103JF103FT1</t>
  </si>
  <si>
    <t>810-NTCG103JF103FT1</t>
  </si>
  <si>
    <t>5k1</t>
  </si>
  <si>
    <t>R12, R14</t>
  </si>
  <si>
    <t>Otpornik, ±100ppm/C, 100mW</t>
  </si>
  <si>
    <t>AC0603FR-075K1L</t>
  </si>
  <si>
    <t>603-AC0603FR-075K1L</t>
  </si>
  <si>
    <t>1k5</t>
  </si>
  <si>
    <t>R13, R16, R20</t>
  </si>
  <si>
    <t>Otpornik, ±50ppm/C, 100mW</t>
  </si>
  <si>
    <t>Vishay</t>
  </si>
  <si>
    <t>MCU08050C1501FP500</t>
  </si>
  <si>
    <t>594-MCU08050C1501FP5</t>
  </si>
  <si>
    <t>2k2</t>
  </si>
  <si>
    <t>R15</t>
  </si>
  <si>
    <t>R21</t>
  </si>
  <si>
    <t>TH-2, 3,7x2,54 mm</t>
  </si>
  <si>
    <t>Semitec</t>
  </si>
  <si>
    <t>103AT-2</t>
  </si>
  <si>
    <t>954-103AT-2</t>
  </si>
  <si>
    <t>TL3301AF160QG</t>
  </si>
  <si>
    <t>S1</t>
  </si>
  <si>
    <t>SMD-4, 6x6mm</t>
  </si>
  <si>
    <t>Taktilni prekidač</t>
  </si>
  <si>
    <t>E-Switch</t>
  </si>
  <si>
    <t>612-TL3301AF1</t>
  </si>
  <si>
    <t>BUF602</t>
  </si>
  <si>
    <t>U1</t>
  </si>
  <si>
    <t>SOIC-8</t>
  </si>
  <si>
    <t>Integrirani Buffer</t>
  </si>
  <si>
    <t>Texas Instruments</t>
  </si>
  <si>
    <t>BUF602ID</t>
  </si>
  <si>
    <t>595-BUF602ID</t>
  </si>
  <si>
    <t>AD8310ARMZ-REEL7</t>
  </si>
  <si>
    <t>U2</t>
  </si>
  <si>
    <t>MSOP</t>
  </si>
  <si>
    <t>Logaritamsko pojačalo</t>
  </si>
  <si>
    <t>Analog Devices</t>
  </si>
  <si>
    <t>584-AD8310ARMZ-R7</t>
  </si>
  <si>
    <t>STM32WB55CGU6</t>
  </si>
  <si>
    <t>U3</t>
  </si>
  <si>
    <t>UFQFPN-48</t>
  </si>
  <si>
    <t>STM32 Mikrokontroler, 1,7-3,6V</t>
  </si>
  <si>
    <t>511-STM32WB55CGU6</t>
  </si>
  <si>
    <t>BQ24040DSQR</t>
  </si>
  <si>
    <t>U4</t>
  </si>
  <si>
    <t>WSON-10</t>
  </si>
  <si>
    <t>595-BQ24040DSQR</t>
  </si>
  <si>
    <t>TPS73633DBVR</t>
  </si>
  <si>
    <t>U5</t>
  </si>
  <si>
    <t>SOT-23</t>
  </si>
  <si>
    <t>IC Regulator, 3,3V, 400mADC</t>
  </si>
  <si>
    <t>595-TPS73633DBVR</t>
  </si>
  <si>
    <t>74AHC1G17GWH</t>
  </si>
  <si>
    <t>U6</t>
  </si>
  <si>
    <t>SOT353-1</t>
  </si>
  <si>
    <t>Integrirani Schmittov okidni sklop</t>
  </si>
  <si>
    <t>Nexperia</t>
  </si>
  <si>
    <t>771-74AHC1G17GWH</t>
  </si>
  <si>
    <t>X2</t>
  </si>
  <si>
    <t>SMD-10, 16x2,5mm</t>
  </si>
  <si>
    <t>Header 1x4</t>
  </si>
  <si>
    <t>Amphenol Communications Solutions</t>
  </si>
  <si>
    <t>68001-204HLF</t>
  </si>
  <si>
    <t>649-68001-204HLF</t>
  </si>
  <si>
    <t>NX2016SA-32MHz</t>
  </si>
  <si>
    <t>Y1</t>
  </si>
  <si>
    <t>Kristalni oscilator 32KHz</t>
  </si>
  <si>
    <t>Nihon Dempa Kogyo</t>
  </si>
  <si>
    <t>NX2016SA-32M-EXS00A-CS06465</t>
  </si>
  <si>
    <t>644-1375-1-ND</t>
  </si>
  <si>
    <t>NX2012SA-32.768kHz</t>
  </si>
  <si>
    <t>Y2</t>
  </si>
  <si>
    <t>Kristalni oscilator, 32.768KHz</t>
  </si>
  <si>
    <t>NDK</t>
  </si>
  <si>
    <t>NX2012SA-32.768K-STD-MUB-1</t>
  </si>
  <si>
    <t>344-NX2012SA32768K1</t>
  </si>
  <si>
    <t>Redni broj</t>
  </si>
  <si>
    <t>Proizvodač</t>
  </si>
  <si>
    <t>Oznaka proizvodača</t>
  </si>
  <si>
    <t>Kućište</t>
  </si>
  <si>
    <t>Dobavljač</t>
  </si>
  <si>
    <t>Oznaka dobavljača</t>
  </si>
  <si>
    <t>Količina</t>
  </si>
  <si>
    <t>L-07C3N6SV6T</t>
  </si>
  <si>
    <t>Johanson</t>
  </si>
  <si>
    <t>4POS HDR</t>
  </si>
  <si>
    <t xml:space="preserve">Zelena </t>
  </si>
  <si>
    <t>Li-Ion akumulator, 800mA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</si>
</sst>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164" fontId="0" fillId="0" borderId="1" xfId="0" applyNumberFormat="1" applyBorder="1" applyAlignment="1">
      <alignment horizontal="left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D3B91-B641-4A87-AEBF-55FFECF58180}">
  <dimension ref="A1:L40"/>
  <sheetViews>
    <sheetView tabSelected="1" workbookViewId="0">
      <selection activeCell="E5" sqref="E5"/>
    </sheetView>
  </sheetViews>
  <sheetFormatPr defaultRowHeight="15" x14ac:dyDescent="0.25"/>
  <cols>
    <col min="1" max="1" width="10" bestFit="1" customWidth="1"/>
    <col min="2" max="2" width="21.5703125" customWidth="1"/>
    <col min="3" max="3" width="21.42578125" customWidth="1"/>
    <col min="4" max="4" width="13.85546875" customWidth="1"/>
    <col min="5" max="5" width="16.5703125" customWidth="1"/>
    <col min="6" max="6" width="16.85546875" customWidth="1"/>
    <col min="7" max="7" width="27.42578125" customWidth="1"/>
    <col min="8" max="8" width="19.140625" customWidth="1"/>
    <col min="9" max="9" width="23.140625" customWidth="1"/>
    <col min="10" max="10" width="20.85546875" customWidth="1"/>
    <col min="11" max="11" width="11.28515625" customWidth="1"/>
    <col min="12" max="12" width="20" customWidth="1"/>
  </cols>
  <sheetData>
    <row r="1" spans="1:12" s="4" customFormat="1" x14ac:dyDescent="0.25">
      <c r="A1" s="4" t="s">
        <v>212</v>
      </c>
      <c r="B1" s="3" t="s">
        <v>0</v>
      </c>
      <c r="C1" s="3" t="s">
        <v>1</v>
      </c>
      <c r="D1" s="3" t="s">
        <v>215</v>
      </c>
      <c r="E1" s="3" t="s">
        <v>2</v>
      </c>
      <c r="F1" s="3" t="s">
        <v>213</v>
      </c>
      <c r="G1" s="3" t="s">
        <v>214</v>
      </c>
      <c r="H1" s="3" t="s">
        <v>216</v>
      </c>
      <c r="I1" s="3" t="s">
        <v>217</v>
      </c>
      <c r="J1" s="3" t="s">
        <v>3</v>
      </c>
      <c r="K1" s="3" t="s">
        <v>218</v>
      </c>
      <c r="L1" s="3" t="s">
        <v>4</v>
      </c>
    </row>
    <row r="2" spans="1:12" x14ac:dyDescent="0.25">
      <c r="A2" s="5">
        <v>1</v>
      </c>
      <c r="B2" s="2" t="s">
        <v>174</v>
      </c>
      <c r="C2" s="2" t="s">
        <v>175</v>
      </c>
      <c r="D2" s="2" t="s">
        <v>176</v>
      </c>
      <c r="E2" s="2" t="s">
        <v>177</v>
      </c>
      <c r="F2" s="2" t="s">
        <v>76</v>
      </c>
      <c r="G2" s="2" t="s">
        <v>174</v>
      </c>
      <c r="H2" s="2" t="s">
        <v>10</v>
      </c>
      <c r="I2" s="2" t="s">
        <v>178</v>
      </c>
      <c r="J2" s="1">
        <v>7.06</v>
      </c>
      <c r="K2" s="1">
        <v>1</v>
      </c>
      <c r="L2" s="1">
        <v>7.06</v>
      </c>
    </row>
    <row r="3" spans="1:12" x14ac:dyDescent="0.25">
      <c r="A3" s="5">
        <v>2</v>
      </c>
      <c r="B3" s="2" t="s">
        <v>161</v>
      </c>
      <c r="C3" s="2" t="s">
        <v>162</v>
      </c>
      <c r="D3" s="2" t="s">
        <v>163</v>
      </c>
      <c r="E3" s="2" t="s">
        <v>164</v>
      </c>
      <c r="F3" s="2" t="s">
        <v>165</v>
      </c>
      <c r="G3" s="2" t="s">
        <v>166</v>
      </c>
      <c r="H3" s="2" t="s">
        <v>10</v>
      </c>
      <c r="I3" s="2" t="s">
        <v>167</v>
      </c>
      <c r="J3" s="1">
        <v>5.82</v>
      </c>
      <c r="K3" s="1">
        <v>1</v>
      </c>
      <c r="L3" s="1">
        <v>5.82</v>
      </c>
    </row>
    <row r="4" spans="1:12" x14ac:dyDescent="0.25">
      <c r="A4" s="5">
        <v>3</v>
      </c>
      <c r="B4" s="2" t="s">
        <v>168</v>
      </c>
      <c r="C4" s="2" t="s">
        <v>169</v>
      </c>
      <c r="D4" s="2" t="s">
        <v>170</v>
      </c>
      <c r="E4" s="2" t="s">
        <v>171</v>
      </c>
      <c r="F4" s="2" t="s">
        <v>172</v>
      </c>
      <c r="G4" s="2" t="s">
        <v>168</v>
      </c>
      <c r="H4" s="2" t="s">
        <v>10</v>
      </c>
      <c r="I4" s="2" t="s">
        <v>173</v>
      </c>
      <c r="J4" s="1">
        <v>12.34</v>
      </c>
      <c r="K4" s="1">
        <v>1</v>
      </c>
      <c r="L4" s="1">
        <v>12.34</v>
      </c>
    </row>
    <row r="5" spans="1:12" x14ac:dyDescent="0.25">
      <c r="A5" s="5">
        <v>4</v>
      </c>
      <c r="B5" s="2" t="s">
        <v>179</v>
      </c>
      <c r="C5" s="2" t="s">
        <v>180</v>
      </c>
      <c r="D5" s="2" t="s">
        <v>181</v>
      </c>
      <c r="E5" s="2" t="s">
        <v>223</v>
      </c>
      <c r="F5" s="2" t="s">
        <v>165</v>
      </c>
      <c r="G5" s="2" t="s">
        <v>179</v>
      </c>
      <c r="H5" s="2" t="s">
        <v>10</v>
      </c>
      <c r="I5" s="2" t="s">
        <v>182</v>
      </c>
      <c r="J5" s="1">
        <v>0.79157</v>
      </c>
      <c r="K5" s="1">
        <v>1</v>
      </c>
      <c r="L5" s="1">
        <v>0.79157</v>
      </c>
    </row>
    <row r="6" spans="1:12" x14ac:dyDescent="0.25">
      <c r="A6" s="5">
        <v>5</v>
      </c>
      <c r="B6" s="2" t="s">
        <v>183</v>
      </c>
      <c r="C6" s="2" t="s">
        <v>184</v>
      </c>
      <c r="D6" s="2" t="s">
        <v>185</v>
      </c>
      <c r="E6" s="2" t="s">
        <v>186</v>
      </c>
      <c r="F6" s="2" t="s">
        <v>165</v>
      </c>
      <c r="G6" s="2" t="s">
        <v>183</v>
      </c>
      <c r="H6" s="2" t="s">
        <v>10</v>
      </c>
      <c r="I6" s="2" t="s">
        <v>187</v>
      </c>
      <c r="J6" s="1">
        <v>2.16</v>
      </c>
      <c r="K6" s="1">
        <v>1</v>
      </c>
      <c r="L6" s="1">
        <v>2.16</v>
      </c>
    </row>
    <row r="7" spans="1:12" x14ac:dyDescent="0.25">
      <c r="A7" s="5">
        <v>6</v>
      </c>
      <c r="B7" s="2" t="s">
        <v>188</v>
      </c>
      <c r="C7" s="2" t="s">
        <v>189</v>
      </c>
      <c r="D7" s="2" t="s">
        <v>190</v>
      </c>
      <c r="E7" s="2" t="s">
        <v>191</v>
      </c>
      <c r="F7" s="2" t="s">
        <v>192</v>
      </c>
      <c r="G7" s="2" t="s">
        <v>188</v>
      </c>
      <c r="H7" s="2" t="s">
        <v>10</v>
      </c>
      <c r="I7" s="2" t="s">
        <v>193</v>
      </c>
      <c r="J7" s="1">
        <v>0.10324999999999999</v>
      </c>
      <c r="K7" s="1">
        <v>1</v>
      </c>
      <c r="L7" s="1">
        <v>0.10324999999999999</v>
      </c>
    </row>
    <row r="8" spans="1:12" x14ac:dyDescent="0.25">
      <c r="A8" s="5">
        <v>7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72</v>
      </c>
      <c r="H8" s="2" t="s">
        <v>10</v>
      </c>
      <c r="I8" s="2" t="s">
        <v>77</v>
      </c>
      <c r="J8" s="1">
        <v>0.31835000000000002</v>
      </c>
      <c r="K8" s="1">
        <v>1</v>
      </c>
      <c r="L8" s="1">
        <v>0.31835000000000002</v>
      </c>
    </row>
    <row r="9" spans="1:12" x14ac:dyDescent="0.25">
      <c r="A9" s="5">
        <v>8</v>
      </c>
      <c r="B9" s="2" t="s">
        <v>5</v>
      </c>
      <c r="C9" s="2" t="s">
        <v>6</v>
      </c>
      <c r="D9" s="2" t="s">
        <v>7</v>
      </c>
      <c r="E9" s="2" t="s">
        <v>8</v>
      </c>
      <c r="F9" s="2" t="s">
        <v>9</v>
      </c>
      <c r="G9" s="2" t="s">
        <v>5</v>
      </c>
      <c r="H9" s="2" t="s">
        <v>10</v>
      </c>
      <c r="I9" s="2" t="s">
        <v>11</v>
      </c>
      <c r="J9" s="1">
        <v>1.39</v>
      </c>
      <c r="K9" s="1">
        <v>1</v>
      </c>
      <c r="L9" s="1">
        <v>1.39</v>
      </c>
    </row>
    <row r="10" spans="1:12" x14ac:dyDescent="0.25">
      <c r="A10" s="5">
        <v>9</v>
      </c>
      <c r="B10" s="2" t="s">
        <v>200</v>
      </c>
      <c r="C10" s="2" t="s">
        <v>201</v>
      </c>
      <c r="D10" s="2" t="s">
        <v>14</v>
      </c>
      <c r="E10" s="2" t="s">
        <v>202</v>
      </c>
      <c r="F10" s="2" t="s">
        <v>203</v>
      </c>
      <c r="G10" s="2" t="s">
        <v>204</v>
      </c>
      <c r="H10" s="2" t="s">
        <v>10</v>
      </c>
      <c r="I10" s="2" t="s">
        <v>205</v>
      </c>
      <c r="J10" s="1">
        <v>0.499</v>
      </c>
      <c r="K10" s="1">
        <v>1</v>
      </c>
      <c r="L10" s="1">
        <v>0.499</v>
      </c>
    </row>
    <row r="11" spans="1:12" x14ac:dyDescent="0.25">
      <c r="A11" s="5">
        <v>10</v>
      </c>
      <c r="B11" s="2" t="s">
        <v>206</v>
      </c>
      <c r="C11" s="2" t="s">
        <v>207</v>
      </c>
      <c r="D11" s="2" t="s">
        <v>14</v>
      </c>
      <c r="E11" s="2" t="s">
        <v>208</v>
      </c>
      <c r="F11" s="2" t="s">
        <v>209</v>
      </c>
      <c r="G11" s="2" t="s">
        <v>210</v>
      </c>
      <c r="H11" s="2" t="s">
        <v>10</v>
      </c>
      <c r="I11" s="2" t="s">
        <v>211</v>
      </c>
      <c r="J11" s="1">
        <v>0.73133999999999999</v>
      </c>
      <c r="K11" s="1">
        <v>1</v>
      </c>
      <c r="L11" s="1">
        <v>0.73133999999999999</v>
      </c>
    </row>
    <row r="12" spans="1:12" x14ac:dyDescent="0.25">
      <c r="A12" s="5">
        <v>11</v>
      </c>
      <c r="B12" s="2" t="s">
        <v>68</v>
      </c>
      <c r="C12" s="2" t="s">
        <v>69</v>
      </c>
      <c r="D12" s="2" t="s">
        <v>14</v>
      </c>
      <c r="E12" s="2" t="s">
        <v>70</v>
      </c>
      <c r="F12" s="2" t="s">
        <v>45</v>
      </c>
      <c r="G12" s="2" t="s">
        <v>68</v>
      </c>
      <c r="H12" s="2" t="s">
        <v>10</v>
      </c>
      <c r="I12" s="2" t="s">
        <v>71</v>
      </c>
      <c r="J12" s="1">
        <v>9.4640000000000002E-2</v>
      </c>
      <c r="K12" s="1">
        <v>1</v>
      </c>
      <c r="L12" s="1">
        <v>9.4640000000000002E-2</v>
      </c>
    </row>
    <row r="13" spans="1:12" x14ac:dyDescent="0.25">
      <c r="A13" s="5">
        <v>12</v>
      </c>
      <c r="B13" s="2" t="s">
        <v>222</v>
      </c>
      <c r="C13" s="2" t="s">
        <v>63</v>
      </c>
      <c r="D13" s="2" t="s">
        <v>14</v>
      </c>
      <c r="E13" s="2" t="s">
        <v>64</v>
      </c>
      <c r="F13" s="2" t="s">
        <v>65</v>
      </c>
      <c r="G13" s="2" t="s">
        <v>66</v>
      </c>
      <c r="H13" s="2" t="s">
        <v>10</v>
      </c>
      <c r="I13" s="2" t="s">
        <v>67</v>
      </c>
      <c r="J13" s="1">
        <v>0.499</v>
      </c>
      <c r="K13" s="1">
        <v>3</v>
      </c>
      <c r="L13" s="1">
        <f>J13*K13</f>
        <v>1.4969999999999999</v>
      </c>
    </row>
    <row r="14" spans="1:12" ht="17.25" customHeight="1" x14ac:dyDescent="0.25">
      <c r="A14" s="5">
        <v>13</v>
      </c>
      <c r="B14" s="2" t="s">
        <v>12</v>
      </c>
      <c r="C14" s="2" t="s">
        <v>13</v>
      </c>
      <c r="D14" s="2" t="s">
        <v>14</v>
      </c>
      <c r="E14" s="2" t="s">
        <v>15</v>
      </c>
      <c r="F14" s="2" t="s">
        <v>16</v>
      </c>
      <c r="G14" s="2" t="s">
        <v>17</v>
      </c>
      <c r="H14" s="2" t="s">
        <v>10</v>
      </c>
      <c r="I14" s="2" t="s">
        <v>18</v>
      </c>
      <c r="J14" s="1">
        <v>0.215</v>
      </c>
      <c r="K14" s="1">
        <v>16</v>
      </c>
      <c r="L14" s="1">
        <f>J14*K14</f>
        <v>3.44</v>
      </c>
    </row>
    <row r="15" spans="1:12" x14ac:dyDescent="0.25">
      <c r="A15" s="5">
        <v>14</v>
      </c>
      <c r="B15" s="2" t="s">
        <v>19</v>
      </c>
      <c r="C15" s="2" t="s">
        <v>20</v>
      </c>
      <c r="D15" s="2" t="s">
        <v>14</v>
      </c>
      <c r="E15" s="2" t="s">
        <v>21</v>
      </c>
      <c r="F15" s="2" t="s">
        <v>22</v>
      </c>
      <c r="G15" s="2" t="s">
        <v>23</v>
      </c>
      <c r="H15" s="2" t="s">
        <v>10</v>
      </c>
      <c r="I15" s="2" t="s">
        <v>24</v>
      </c>
      <c r="J15" s="1">
        <v>0.21510000000000001</v>
      </c>
      <c r="K15" s="1">
        <v>2</v>
      </c>
      <c r="L15" s="1">
        <v>0.43020000000000003</v>
      </c>
    </row>
    <row r="16" spans="1:12" x14ac:dyDescent="0.25">
      <c r="A16" s="5">
        <v>15</v>
      </c>
      <c r="B16" s="2" t="s">
        <v>25</v>
      </c>
      <c r="C16" s="2" t="s">
        <v>26</v>
      </c>
      <c r="D16" s="2" t="s">
        <v>27</v>
      </c>
      <c r="E16" s="2" t="s">
        <v>28</v>
      </c>
      <c r="F16" s="2" t="s">
        <v>29</v>
      </c>
      <c r="G16" s="2" t="s">
        <v>30</v>
      </c>
      <c r="H16" s="2" t="s">
        <v>10</v>
      </c>
      <c r="I16" s="2" t="s">
        <v>31</v>
      </c>
      <c r="J16" s="1">
        <v>0.27533000000000002</v>
      </c>
      <c r="K16" s="1">
        <v>2</v>
      </c>
      <c r="L16" s="1">
        <v>0.55066000000000004</v>
      </c>
    </row>
    <row r="17" spans="1:12" x14ac:dyDescent="0.25">
      <c r="A17" s="5">
        <v>16</v>
      </c>
      <c r="B17" s="2" t="s">
        <v>32</v>
      </c>
      <c r="C17" s="2" t="s">
        <v>33</v>
      </c>
      <c r="D17" s="2" t="s">
        <v>14</v>
      </c>
      <c r="E17" s="2" t="s">
        <v>34</v>
      </c>
      <c r="F17" s="2" t="s">
        <v>29</v>
      </c>
      <c r="G17" s="2" t="s">
        <v>35</v>
      </c>
      <c r="H17" s="2" t="s">
        <v>10</v>
      </c>
      <c r="I17" s="2" t="s">
        <v>36</v>
      </c>
      <c r="J17" s="1">
        <v>0.30114000000000002</v>
      </c>
      <c r="K17" s="1">
        <v>2</v>
      </c>
      <c r="L17" s="1">
        <v>0.60228000000000004</v>
      </c>
    </row>
    <row r="18" spans="1:12" x14ac:dyDescent="0.25">
      <c r="A18" s="5">
        <v>17</v>
      </c>
      <c r="B18" s="2" t="s">
        <v>37</v>
      </c>
      <c r="C18" s="2" t="s">
        <v>38</v>
      </c>
      <c r="D18" s="2" t="s">
        <v>39</v>
      </c>
      <c r="E18" s="2" t="s">
        <v>40</v>
      </c>
      <c r="F18" s="2" t="s">
        <v>22</v>
      </c>
      <c r="G18" s="2" t="s">
        <v>41</v>
      </c>
      <c r="H18" s="2" t="s">
        <v>10</v>
      </c>
      <c r="I18" s="2" t="s">
        <v>42</v>
      </c>
      <c r="J18" s="1">
        <v>0.28393000000000002</v>
      </c>
      <c r="K18" s="1">
        <v>1</v>
      </c>
      <c r="L18" s="1">
        <v>0.28393000000000002</v>
      </c>
    </row>
    <row r="19" spans="1:12" x14ac:dyDescent="0.25">
      <c r="A19" s="5">
        <v>18</v>
      </c>
      <c r="B19" s="2" t="s">
        <v>43</v>
      </c>
      <c r="C19" s="2" t="s">
        <v>44</v>
      </c>
      <c r="D19" s="2" t="s">
        <v>14</v>
      </c>
      <c r="E19" s="2" t="s">
        <v>21</v>
      </c>
      <c r="F19" s="2" t="s">
        <v>45</v>
      </c>
      <c r="G19" s="2" t="s">
        <v>46</v>
      </c>
      <c r="H19" s="2" t="s">
        <v>10</v>
      </c>
      <c r="I19" s="2" t="s">
        <v>47</v>
      </c>
      <c r="J19" s="1">
        <v>0.48182000000000003</v>
      </c>
      <c r="K19" s="1">
        <v>2</v>
      </c>
      <c r="L19" s="1">
        <v>0.96365000000000001</v>
      </c>
    </row>
    <row r="20" spans="1:12" x14ac:dyDescent="0.25">
      <c r="A20" s="5">
        <v>19</v>
      </c>
      <c r="B20" s="2" t="s">
        <v>48</v>
      </c>
      <c r="C20" s="2" t="s">
        <v>49</v>
      </c>
      <c r="D20" s="2" t="s">
        <v>27</v>
      </c>
      <c r="E20" s="2" t="s">
        <v>50</v>
      </c>
      <c r="F20" s="2" t="s">
        <v>51</v>
      </c>
      <c r="G20" s="2" t="s">
        <v>52</v>
      </c>
      <c r="H20" s="2" t="s">
        <v>10</v>
      </c>
      <c r="I20" s="2" t="s">
        <v>53</v>
      </c>
      <c r="J20" s="1">
        <v>0.10324999999999999</v>
      </c>
      <c r="K20" s="1">
        <v>1</v>
      </c>
      <c r="L20" s="1">
        <v>0.10324999999999999</v>
      </c>
    </row>
    <row r="21" spans="1:12" x14ac:dyDescent="0.25">
      <c r="A21" s="5">
        <v>20</v>
      </c>
      <c r="B21" s="2" t="s">
        <v>54</v>
      </c>
      <c r="C21" s="2" t="s">
        <v>55</v>
      </c>
      <c r="D21" s="2" t="s">
        <v>27</v>
      </c>
      <c r="E21" s="2" t="s">
        <v>21</v>
      </c>
      <c r="F21" s="2" t="s">
        <v>9</v>
      </c>
      <c r="G21" s="2" t="s">
        <v>56</v>
      </c>
      <c r="H21" s="2" t="s">
        <v>10</v>
      </c>
      <c r="I21" s="2" t="s">
        <v>57</v>
      </c>
      <c r="J21" s="1">
        <v>0.13766</v>
      </c>
      <c r="K21" s="1">
        <v>1</v>
      </c>
      <c r="L21" s="1">
        <v>0.13766</v>
      </c>
    </row>
    <row r="22" spans="1:12" x14ac:dyDescent="0.25">
      <c r="A22" s="5">
        <v>21</v>
      </c>
      <c r="B22" s="2" t="s">
        <v>58</v>
      </c>
      <c r="C22" s="2" t="s">
        <v>59</v>
      </c>
      <c r="D22" s="2" t="s">
        <v>60</v>
      </c>
      <c r="E22" s="2" t="s">
        <v>15</v>
      </c>
      <c r="F22" s="2" t="s">
        <v>45</v>
      </c>
      <c r="G22" s="2" t="s">
        <v>61</v>
      </c>
      <c r="H22" s="2" t="s">
        <v>10</v>
      </c>
      <c r="I22" s="2" t="s">
        <v>62</v>
      </c>
      <c r="J22" s="1">
        <v>0.18929000000000001</v>
      </c>
      <c r="K22" s="1">
        <v>2</v>
      </c>
      <c r="L22" s="1">
        <v>0.37858000000000003</v>
      </c>
    </row>
    <row r="23" spans="1:12" x14ac:dyDescent="0.25">
      <c r="A23" s="5">
        <v>22</v>
      </c>
      <c r="B23" s="2" t="s">
        <v>84</v>
      </c>
      <c r="C23" s="2" t="s">
        <v>85</v>
      </c>
      <c r="D23" s="2" t="s">
        <v>14</v>
      </c>
      <c r="E23" s="2" t="s">
        <v>86</v>
      </c>
      <c r="F23" s="2" t="s">
        <v>16</v>
      </c>
      <c r="G23" s="2" t="s">
        <v>87</v>
      </c>
      <c r="H23" s="2" t="s">
        <v>10</v>
      </c>
      <c r="I23" s="2" t="s">
        <v>88</v>
      </c>
      <c r="J23" s="1">
        <v>0.10324999999999999</v>
      </c>
      <c r="K23" s="1">
        <v>1</v>
      </c>
      <c r="L23" s="1">
        <v>0.10324999999999999</v>
      </c>
    </row>
    <row r="24" spans="1:12" x14ac:dyDescent="0.25">
      <c r="A24" s="5">
        <v>23</v>
      </c>
      <c r="B24" s="2" t="s">
        <v>19</v>
      </c>
      <c r="C24" s="2" t="s">
        <v>89</v>
      </c>
      <c r="D24" s="2" t="s">
        <v>14</v>
      </c>
      <c r="E24" s="2" t="s">
        <v>90</v>
      </c>
      <c r="F24" s="2" t="s">
        <v>91</v>
      </c>
      <c r="G24" s="2" t="s">
        <v>92</v>
      </c>
      <c r="H24" s="2" t="s">
        <v>10</v>
      </c>
      <c r="I24" s="2" t="s">
        <v>93</v>
      </c>
      <c r="J24" s="1">
        <v>0.11185</v>
      </c>
      <c r="K24" s="1">
        <v>1</v>
      </c>
      <c r="L24" s="1">
        <v>0.11185</v>
      </c>
    </row>
    <row r="25" spans="1:12" x14ac:dyDescent="0.25">
      <c r="A25" s="5">
        <v>24</v>
      </c>
      <c r="B25" s="2" t="s">
        <v>94</v>
      </c>
      <c r="C25" s="2" t="s">
        <v>95</v>
      </c>
      <c r="D25" s="2" t="s">
        <v>27</v>
      </c>
      <c r="E25" s="2" t="s">
        <v>96</v>
      </c>
      <c r="F25" s="1" t="s">
        <v>220</v>
      </c>
      <c r="G25" s="6" t="s">
        <v>219</v>
      </c>
      <c r="H25" s="2" t="s">
        <v>10</v>
      </c>
      <c r="I25" s="2" t="s">
        <v>97</v>
      </c>
      <c r="J25" s="1">
        <v>0.16300000000000001</v>
      </c>
      <c r="K25" s="1">
        <v>1</v>
      </c>
      <c r="L25" s="1">
        <v>0.16300000000000001</v>
      </c>
    </row>
    <row r="26" spans="1:12" x14ac:dyDescent="0.25">
      <c r="A26" s="5">
        <v>25</v>
      </c>
      <c r="B26" s="2" t="s">
        <v>98</v>
      </c>
      <c r="C26" s="2" t="s">
        <v>99</v>
      </c>
      <c r="D26" s="2" t="s">
        <v>27</v>
      </c>
      <c r="E26" s="2" t="s">
        <v>100</v>
      </c>
      <c r="F26" s="2" t="s">
        <v>9</v>
      </c>
      <c r="G26" s="2" t="s">
        <v>101</v>
      </c>
      <c r="H26" s="2" t="s">
        <v>102</v>
      </c>
      <c r="I26" s="2" t="s">
        <v>103</v>
      </c>
      <c r="J26" s="1">
        <v>8.6040000000000005E-2</v>
      </c>
      <c r="K26" s="1">
        <v>1</v>
      </c>
      <c r="L26" s="1">
        <v>8.6040000000000005E-2</v>
      </c>
    </row>
    <row r="27" spans="1:12" x14ac:dyDescent="0.25">
      <c r="A27" s="5">
        <v>26</v>
      </c>
      <c r="B27" s="2" t="s">
        <v>104</v>
      </c>
      <c r="C27" s="2" t="s">
        <v>105</v>
      </c>
      <c r="D27" s="2" t="s">
        <v>14</v>
      </c>
      <c r="E27" s="2" t="s">
        <v>106</v>
      </c>
      <c r="F27" s="2" t="s">
        <v>22</v>
      </c>
      <c r="G27" s="2" t="s">
        <v>107</v>
      </c>
      <c r="H27" s="2" t="s">
        <v>10</v>
      </c>
      <c r="I27" s="2" t="s">
        <v>108</v>
      </c>
      <c r="J27" s="1">
        <v>1.0319999999999999E-2</v>
      </c>
      <c r="K27" s="1">
        <v>4</v>
      </c>
      <c r="L27" s="1">
        <v>0.10324999999999999</v>
      </c>
    </row>
    <row r="28" spans="1:12" x14ac:dyDescent="0.25">
      <c r="A28" s="5">
        <v>27</v>
      </c>
      <c r="B28" s="2" t="s">
        <v>109</v>
      </c>
      <c r="C28" s="2" t="s">
        <v>110</v>
      </c>
      <c r="D28" s="2" t="s">
        <v>14</v>
      </c>
      <c r="E28" s="2" t="s">
        <v>111</v>
      </c>
      <c r="F28" s="2" t="s">
        <v>22</v>
      </c>
      <c r="G28" s="2" t="s">
        <v>112</v>
      </c>
      <c r="H28" s="2" t="s">
        <v>10</v>
      </c>
      <c r="I28" s="2" t="s">
        <v>113</v>
      </c>
      <c r="J28" s="1">
        <v>1.635E-2</v>
      </c>
      <c r="K28" s="1">
        <v>2</v>
      </c>
      <c r="L28" s="1">
        <v>0.16347999999999999</v>
      </c>
    </row>
    <row r="29" spans="1:12" x14ac:dyDescent="0.25">
      <c r="A29" s="5">
        <v>28</v>
      </c>
      <c r="B29" s="2" t="s">
        <v>114</v>
      </c>
      <c r="C29" s="2" t="s">
        <v>115</v>
      </c>
      <c r="D29" s="2" t="s">
        <v>14</v>
      </c>
      <c r="E29" s="2" t="s">
        <v>111</v>
      </c>
      <c r="F29" s="2" t="s">
        <v>22</v>
      </c>
      <c r="G29" s="2" t="s">
        <v>116</v>
      </c>
      <c r="H29" s="2" t="s">
        <v>10</v>
      </c>
      <c r="I29" s="2" t="s">
        <v>117</v>
      </c>
      <c r="J29" s="1">
        <v>8.6040000000000005E-2</v>
      </c>
      <c r="K29" s="1">
        <v>1</v>
      </c>
      <c r="L29" s="1">
        <v>8.6040000000000005E-2</v>
      </c>
    </row>
    <row r="30" spans="1:12" x14ac:dyDescent="0.25">
      <c r="A30" s="5">
        <v>29</v>
      </c>
      <c r="B30" s="2" t="s">
        <v>118</v>
      </c>
      <c r="C30" s="2" t="s">
        <v>119</v>
      </c>
      <c r="D30" s="2" t="s">
        <v>14</v>
      </c>
      <c r="E30" s="2" t="s">
        <v>111</v>
      </c>
      <c r="F30" s="2" t="s">
        <v>22</v>
      </c>
      <c r="G30" s="2" t="s">
        <v>120</v>
      </c>
      <c r="H30" s="2" t="s">
        <v>10</v>
      </c>
      <c r="I30" s="2" t="s">
        <v>121</v>
      </c>
      <c r="J30" s="1">
        <v>8.6040000000000005E-2</v>
      </c>
      <c r="K30" s="1">
        <v>1</v>
      </c>
      <c r="L30" s="1">
        <v>8.6040000000000005E-2</v>
      </c>
    </row>
    <row r="31" spans="1:12" x14ac:dyDescent="0.25">
      <c r="A31" s="5">
        <v>30</v>
      </c>
      <c r="B31" s="2" t="s">
        <v>122</v>
      </c>
      <c r="C31" s="2" t="s">
        <v>123</v>
      </c>
      <c r="D31" s="2" t="s">
        <v>60</v>
      </c>
      <c r="E31" s="2" t="s">
        <v>124</v>
      </c>
      <c r="F31" s="2" t="s">
        <v>125</v>
      </c>
      <c r="G31" s="2" t="s">
        <v>126</v>
      </c>
      <c r="H31" s="2" t="s">
        <v>127</v>
      </c>
      <c r="I31" s="2" t="s">
        <v>126</v>
      </c>
      <c r="J31" s="1">
        <v>4.0099999999999997E-3</v>
      </c>
      <c r="K31" s="1">
        <v>5</v>
      </c>
      <c r="L31" s="1">
        <v>2.0500000000000001E-2</v>
      </c>
    </row>
    <row r="32" spans="1:12" x14ac:dyDescent="0.25">
      <c r="A32" s="5">
        <v>31</v>
      </c>
      <c r="B32" s="2" t="s">
        <v>128</v>
      </c>
      <c r="C32" s="2" t="s">
        <v>129</v>
      </c>
      <c r="D32" s="2" t="s">
        <v>14</v>
      </c>
      <c r="E32" s="2" t="s">
        <v>130</v>
      </c>
      <c r="F32" s="2" t="s">
        <v>22</v>
      </c>
      <c r="G32" s="2" t="s">
        <v>131</v>
      </c>
      <c r="H32" s="2" t="s">
        <v>10</v>
      </c>
      <c r="I32" s="2" t="s">
        <v>132</v>
      </c>
      <c r="J32" s="1">
        <v>0.18929000000000001</v>
      </c>
      <c r="K32" s="1">
        <v>1</v>
      </c>
      <c r="L32" s="1">
        <v>0.18929000000000001</v>
      </c>
    </row>
    <row r="33" spans="1:12" x14ac:dyDescent="0.25">
      <c r="A33" s="5">
        <v>32</v>
      </c>
      <c r="B33" s="2" t="s">
        <v>128</v>
      </c>
      <c r="C33" s="2" t="s">
        <v>133</v>
      </c>
      <c r="D33" s="2" t="s">
        <v>27</v>
      </c>
      <c r="E33" s="2" t="s">
        <v>134</v>
      </c>
      <c r="F33" s="2" t="s">
        <v>45</v>
      </c>
      <c r="G33" s="2" t="s">
        <v>135</v>
      </c>
      <c r="H33" s="2" t="s">
        <v>10</v>
      </c>
      <c r="I33" s="2" t="s">
        <v>136</v>
      </c>
      <c r="J33" s="1">
        <v>8.6040000000000005E-2</v>
      </c>
      <c r="K33" s="1">
        <v>1</v>
      </c>
      <c r="L33" s="1">
        <v>8.6040000000000005E-2</v>
      </c>
    </row>
    <row r="34" spans="1:12" x14ac:dyDescent="0.25">
      <c r="A34" s="5">
        <v>33</v>
      </c>
      <c r="B34" s="2" t="s">
        <v>137</v>
      </c>
      <c r="C34" s="2" t="s">
        <v>138</v>
      </c>
      <c r="D34" s="2" t="s">
        <v>60</v>
      </c>
      <c r="E34" s="2" t="s">
        <v>139</v>
      </c>
      <c r="F34" s="2" t="s">
        <v>22</v>
      </c>
      <c r="G34" s="2" t="s">
        <v>140</v>
      </c>
      <c r="H34" s="2" t="s">
        <v>10</v>
      </c>
      <c r="I34" s="2" t="s">
        <v>141</v>
      </c>
      <c r="J34" s="1">
        <v>1.0319999999999999E-2</v>
      </c>
      <c r="K34" s="1">
        <v>2</v>
      </c>
      <c r="L34" s="1">
        <v>0.10324999999999999</v>
      </c>
    </row>
    <row r="35" spans="1:12" x14ac:dyDescent="0.25">
      <c r="A35" s="5">
        <v>34</v>
      </c>
      <c r="B35" s="2" t="s">
        <v>142</v>
      </c>
      <c r="C35" s="2" t="s">
        <v>143</v>
      </c>
      <c r="D35" s="2" t="s">
        <v>14</v>
      </c>
      <c r="E35" s="2" t="s">
        <v>144</v>
      </c>
      <c r="F35" s="2" t="s">
        <v>145</v>
      </c>
      <c r="G35" s="2" t="s">
        <v>146</v>
      </c>
      <c r="H35" s="2" t="s">
        <v>10</v>
      </c>
      <c r="I35" s="2" t="s">
        <v>147</v>
      </c>
      <c r="J35" s="1">
        <v>7.4029999999999999E-2</v>
      </c>
      <c r="K35" s="1">
        <v>3</v>
      </c>
      <c r="L35" s="1">
        <v>0.22209000000000001</v>
      </c>
    </row>
    <row r="36" spans="1:12" x14ac:dyDescent="0.25">
      <c r="A36" s="5">
        <v>35</v>
      </c>
      <c r="B36" s="2" t="s">
        <v>148</v>
      </c>
      <c r="C36" s="2" t="s">
        <v>149</v>
      </c>
      <c r="D36" s="2" t="s">
        <v>14</v>
      </c>
      <c r="E36" s="2" t="s">
        <v>106</v>
      </c>
      <c r="F36" s="2" t="s">
        <v>145</v>
      </c>
      <c r="G36" s="2" t="s">
        <v>146</v>
      </c>
      <c r="H36" s="2" t="s">
        <v>10</v>
      </c>
      <c r="I36" s="2" t="s">
        <v>147</v>
      </c>
      <c r="J36" s="1">
        <v>7.4029999999999999E-2</v>
      </c>
      <c r="K36" s="1">
        <v>1</v>
      </c>
      <c r="L36" s="1">
        <v>7.4029999999999999E-2</v>
      </c>
    </row>
    <row r="37" spans="1:12" x14ac:dyDescent="0.25">
      <c r="A37" s="5">
        <v>36</v>
      </c>
      <c r="B37" s="2" t="s">
        <v>128</v>
      </c>
      <c r="C37" s="2" t="s">
        <v>150</v>
      </c>
      <c r="D37" s="2" t="s">
        <v>151</v>
      </c>
      <c r="E37" s="2" t="s">
        <v>134</v>
      </c>
      <c r="F37" s="2" t="s">
        <v>152</v>
      </c>
      <c r="G37" s="2" t="s">
        <v>153</v>
      </c>
      <c r="H37" s="2" t="s">
        <v>10</v>
      </c>
      <c r="I37" s="2" t="s">
        <v>154</v>
      </c>
      <c r="J37" s="1">
        <v>0.53800000000000003</v>
      </c>
      <c r="K37" s="1">
        <v>1</v>
      </c>
      <c r="L37" s="1">
        <v>0.53800000000000003</v>
      </c>
    </row>
    <row r="38" spans="1:12" x14ac:dyDescent="0.25">
      <c r="A38" s="5">
        <v>37</v>
      </c>
      <c r="B38" s="2" t="s">
        <v>78</v>
      </c>
      <c r="C38" s="2" t="s">
        <v>79</v>
      </c>
      <c r="D38" s="2" t="s">
        <v>80</v>
      </c>
      <c r="E38" s="2" t="s">
        <v>81</v>
      </c>
      <c r="F38" s="2" t="s">
        <v>82</v>
      </c>
      <c r="G38" s="2" t="s">
        <v>78</v>
      </c>
      <c r="H38" s="2" t="s">
        <v>10</v>
      </c>
      <c r="I38" s="2" t="s">
        <v>83</v>
      </c>
      <c r="J38" s="1">
        <v>0.58506999999999998</v>
      </c>
      <c r="K38" s="1">
        <v>1</v>
      </c>
      <c r="L38" s="1">
        <v>0.58506999999999998</v>
      </c>
    </row>
    <row r="39" spans="1:12" x14ac:dyDescent="0.25">
      <c r="A39" s="5">
        <v>38</v>
      </c>
      <c r="B39" s="2" t="s">
        <v>155</v>
      </c>
      <c r="C39" s="2" t="s">
        <v>156</v>
      </c>
      <c r="D39" s="2" t="s">
        <v>157</v>
      </c>
      <c r="E39" s="2" t="s">
        <v>158</v>
      </c>
      <c r="F39" s="2" t="s">
        <v>159</v>
      </c>
      <c r="G39" s="2" t="s">
        <v>155</v>
      </c>
      <c r="H39" s="2" t="s">
        <v>10</v>
      </c>
      <c r="I39" s="2" t="s">
        <v>160</v>
      </c>
      <c r="J39" s="1">
        <v>0.29254000000000002</v>
      </c>
      <c r="K39" s="1">
        <v>1</v>
      </c>
      <c r="L39" s="1">
        <v>0.29254000000000002</v>
      </c>
    </row>
    <row r="40" spans="1:12" x14ac:dyDescent="0.25">
      <c r="A40" s="5">
        <v>39</v>
      </c>
      <c r="B40" s="2" t="s">
        <v>221</v>
      </c>
      <c r="C40" s="2" t="s">
        <v>194</v>
      </c>
      <c r="D40" s="2" t="s">
        <v>195</v>
      </c>
      <c r="E40" s="2" t="s">
        <v>196</v>
      </c>
      <c r="F40" s="2" t="s">
        <v>197</v>
      </c>
      <c r="G40" s="2" t="s">
        <v>198</v>
      </c>
      <c r="H40" s="2" t="s">
        <v>10</v>
      </c>
      <c r="I40" s="2" t="s">
        <v>199</v>
      </c>
      <c r="J40" s="1">
        <v>0.34416000000000002</v>
      </c>
      <c r="K40" s="1">
        <v>1</v>
      </c>
      <c r="L40" s="1">
        <v>0.34416000000000002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IBC_prijamnik_VB</vt:lpstr>
      <vt:lpstr>IBC_prijamnik_VB!Print_Titles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 Brunčić</dc:creator>
  <cp:lastModifiedBy>Vito Brunčić</cp:lastModifiedBy>
  <dcterms:created xsi:type="dcterms:W3CDTF">2026-05-16T16:38:38Z</dcterms:created>
  <dcterms:modified xsi:type="dcterms:W3CDTF">2026-06-08T15:24:41Z</dcterms:modified>
</cp:coreProperties>
</file>